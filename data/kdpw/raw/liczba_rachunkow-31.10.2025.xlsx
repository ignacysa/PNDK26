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O:\Katalogi działowe\RT\Portal_data.kdpw.pl\ProwadzeniePortaluDATA\Portal_Raporty ręczne\Liczba rachunków papierów wartościowych_pliki załadowane na stronę\2025\"/>
    </mc:Choice>
  </mc:AlternateContent>
  <xr:revisionPtr revIDLastSave="0" documentId="8_{8090479B-B9E5-49A3-9797-70C0AD5B4C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ździernik_25" sheetId="290" r:id="rId1"/>
  </sheets>
  <definedNames>
    <definedName name="_xlnm.Print_Area" localSheetId="0">październik_25!$A$1:$D$40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290" l="1"/>
</calcChain>
</file>

<file path=xl/sharedStrings.xml><?xml version="1.0" encoding="utf-8"?>
<sst xmlns="http://schemas.openxmlformats.org/spreadsheetml/2006/main" count="43" uniqueCount="43">
  <si>
    <t>Kod</t>
  </si>
  <si>
    <t>Uczestnik</t>
  </si>
  <si>
    <t xml:space="preserve">ING Bank Śląski S.A. </t>
  </si>
  <si>
    <t>Erste Securities Polska S.A.</t>
  </si>
  <si>
    <t>Bank Polska Kasa Opieki S.A.</t>
  </si>
  <si>
    <t>Deutsche Bank Polska S.A.</t>
  </si>
  <si>
    <t>RAZEM:</t>
  </si>
  <si>
    <t>Societe Generale S.A. Oddział w Polsce</t>
  </si>
  <si>
    <t>Bank Millennium S.A.</t>
  </si>
  <si>
    <t>PKO BP S.A.</t>
  </si>
  <si>
    <t>L.p.</t>
  </si>
  <si>
    <t>Liczba rachunków</t>
  </si>
  <si>
    <t>Dom Maklerski Banku Ochrony Środowiska S.A.</t>
  </si>
  <si>
    <t>BM Alior Bank S.A.</t>
  </si>
  <si>
    <t>Ipopema Securities S.A.</t>
  </si>
  <si>
    <t>NOBLE Securities S.A.</t>
  </si>
  <si>
    <t>Trigon DM S.A.</t>
  </si>
  <si>
    <t>Dom Maklerski BDM S.A.</t>
  </si>
  <si>
    <t>Bank Gospodarstwa Krajowego</t>
  </si>
  <si>
    <t xml:space="preserve">  INFORMACJA O LICZBIE RACHUNKÓW PAPIERÓW WARTOŚCIOWYCH ORAZ RACHUNKÓW ZBIORCZYCH</t>
  </si>
  <si>
    <t>mBank S.A.</t>
  </si>
  <si>
    <t>Bank Handlowy w Warszawie S.A.</t>
  </si>
  <si>
    <t>ING Bank Śląski S.A. Biuro Maklerskie</t>
  </si>
  <si>
    <t>Alior Bank S.A.</t>
  </si>
  <si>
    <t>PGE Dom Maklerski S.A.</t>
  </si>
  <si>
    <t>Santander Biuro Maklerskie</t>
  </si>
  <si>
    <t>SGB-Bank S.A.</t>
  </si>
  <si>
    <t>BNP Paribas Bank Polska S.A.</t>
  </si>
  <si>
    <t>Biuro Maklerskie BNP Paribas Bank Polska S.A.</t>
  </si>
  <si>
    <t>NWAI Dom Maklerski S.A.</t>
  </si>
  <si>
    <t>Q Securities S.A.</t>
  </si>
  <si>
    <t xml:space="preserve">BM PKO BP </t>
  </si>
  <si>
    <t>BM Pekao</t>
  </si>
  <si>
    <t>mBank S.A. Biuro Maklerskie</t>
  </si>
  <si>
    <t>815/929</t>
  </si>
  <si>
    <t>XTB S.A.</t>
  </si>
  <si>
    <t>BM Banku Millennium S.A.</t>
  </si>
  <si>
    <t>Biuro Maklerskie Banku Handlowego w Warszawie S.A.</t>
  </si>
  <si>
    <t>BNP PARIBAS S.A. Oddział w Polsce</t>
  </si>
  <si>
    <t>Bank Polskiej Spółdzielczości S.A.</t>
  </si>
  <si>
    <t>Michael/Ström Dom Maklerski S.A.</t>
  </si>
  <si>
    <t xml:space="preserve">    PROWADZONYCH PRZEZ UCZESTNIKÓW KDPW NA 31 PAŹDZIERNIKA 2025 R.</t>
  </si>
  <si>
    <t>IFDS Dom Maklerski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</si>
</sst>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#\ ###"/>
  </numFmts>
  <fonts count="6" x14ac:knownFonts="1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  <family val="2"/>
      <charset val="238"/>
    </font>
    <font>
      <b/>
      <i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A8D408"/>
        <bgColor indexed="64"/>
      </patternFill>
    </fill>
    <fill>
      <patternFill patternType="solid">
        <fgColor rgb="FFAFC80A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3" fillId="0" borderId="0" xfId="1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4" fillId="0" borderId="0" xfId="1" applyFont="1" applyAlignment="1">
      <alignment horizontal="right"/>
    </xf>
    <xf numFmtId="0" fontId="4" fillId="0" borderId="0" xfId="1" applyFont="1"/>
    <xf numFmtId="164" fontId="4" fillId="0" borderId="0" xfId="1" applyNumberFormat="1" applyFont="1"/>
    <xf numFmtId="0" fontId="4" fillId="0" borderId="2" xfId="1" applyFont="1" applyBorder="1" applyAlignment="1">
      <alignment horizontal="right"/>
    </xf>
    <xf numFmtId="0" fontId="4" fillId="0" borderId="3" xfId="1" applyFont="1" applyBorder="1" applyAlignment="1">
      <alignment horizontal="center"/>
    </xf>
    <xf numFmtId="0" fontId="4" fillId="0" borderId="3" xfId="1" applyFont="1" applyBorder="1" applyAlignment="1">
      <alignment horizontal="left"/>
    </xf>
    <xf numFmtId="0" fontId="4" fillId="2" borderId="3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left"/>
    </xf>
    <xf numFmtId="0" fontId="4" fillId="0" borderId="3" xfId="0" applyFont="1" applyBorder="1"/>
    <xf numFmtId="0" fontId="4" fillId="2" borderId="4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left"/>
    </xf>
    <xf numFmtId="0" fontId="5" fillId="3" borderId="5" xfId="1" applyFont="1" applyFill="1" applyBorder="1" applyAlignment="1">
      <alignment horizontal="centerContinuous"/>
    </xf>
    <xf numFmtId="0" fontId="3" fillId="4" borderId="12" xfId="1" applyFont="1" applyFill="1" applyBorder="1" applyAlignment="1">
      <alignment horizontal="center"/>
    </xf>
    <xf numFmtId="0" fontId="3" fillId="4" borderId="11" xfId="1" applyFont="1" applyFill="1" applyBorder="1" applyAlignment="1">
      <alignment horizontal="center"/>
    </xf>
    <xf numFmtId="0" fontId="3" fillId="4" borderId="1" xfId="1" applyFont="1" applyFill="1" applyBorder="1" applyAlignment="1">
      <alignment horizontal="center"/>
    </xf>
    <xf numFmtId="164" fontId="3" fillId="4" borderId="13" xfId="1" applyNumberFormat="1" applyFont="1" applyFill="1" applyBorder="1" applyAlignment="1">
      <alignment horizontal="center"/>
    </xf>
    <xf numFmtId="3" fontId="4" fillId="4" borderId="8" xfId="1" applyNumberFormat="1" applyFont="1" applyFill="1" applyBorder="1"/>
    <xf numFmtId="3" fontId="4" fillId="4" borderId="9" xfId="1" applyNumberFormat="1" applyFont="1" applyFill="1" applyBorder="1"/>
    <xf numFmtId="3" fontId="5" fillId="4" borderId="10" xfId="1" applyNumberFormat="1" applyFont="1" applyFill="1" applyBorder="1"/>
    <xf numFmtId="0" fontId="5" fillId="4" borderId="6" xfId="1" applyFont="1" applyFill="1" applyBorder="1" applyAlignment="1">
      <alignment horizontal="centerContinuous"/>
    </xf>
    <xf numFmtId="0" fontId="5" fillId="4" borderId="7" xfId="1" applyFont="1" applyFill="1" applyBorder="1"/>
    <xf numFmtId="3" fontId="1" fillId="4" borderId="8" xfId="1" applyNumberFormat="1" applyFont="1" applyFill="1" applyBorder="1"/>
  </cellXfs>
  <cellStyles count="2">
    <cellStyle name="Normalny" xfId="0" builtinId="0"/>
    <cellStyle name="Normalny_06_97" xfId="1" xr:uid="{00000000-0005-0000-0000-000001000000}"/>
  </cellStyles>
  <dxfs count="0"/>
  <tableStyles count="0" defaultTableStyle="TableStyleMedium9" defaultPivotStyle="PivotStyleLight16"/>
  <colors>
    <mruColors>
      <color rgb="FFAFC80A"/>
      <color rgb="FFA8D4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E37BE-BD26-413A-B0E3-4EC168341C6F}">
  <sheetPr>
    <pageSetUpPr fitToPage="1"/>
  </sheetPr>
  <dimension ref="A1:D41"/>
  <sheetViews>
    <sheetView tabSelected="1" zoomScale="75" zoomScaleNormal="75" workbookViewId="0">
      <selection activeCell="D3" sqref="D3"/>
    </sheetView>
  </sheetViews>
  <sheetFormatPr defaultRowHeight="12.75" x14ac:dyDescent="0.2"/>
  <cols>
    <col min="1" max="1" width="3.5703125" customWidth="1"/>
    <col min="2" max="2" width="12" customWidth="1"/>
    <col min="3" max="3" width="61.85546875" customWidth="1"/>
    <col min="4" max="4" width="19.140625" customWidth="1"/>
  </cols>
  <sheetData>
    <row r="1" spans="1:4" ht="15" x14ac:dyDescent="0.25">
      <c r="A1" s="1"/>
      <c r="B1" s="1"/>
      <c r="C1" s="1" t="s">
        <v>19</v>
      </c>
      <c r="D1" s="2"/>
    </row>
    <row r="2" spans="1:4" ht="15" x14ac:dyDescent="0.25">
      <c r="A2" s="1"/>
      <c r="B2" s="1"/>
      <c r="C2" s="1" t="s">
        <v>41</v>
      </c>
      <c r="D2" s="2"/>
    </row>
    <row r="3" spans="1:4" ht="15.75" thickBot="1" x14ac:dyDescent="0.3">
      <c r="A3" s="3"/>
      <c r="B3" s="3"/>
      <c r="C3" s="4"/>
      <c r="D3" s="5"/>
    </row>
    <row r="4" spans="1:4" ht="15.75" thickTop="1" x14ac:dyDescent="0.25">
      <c r="A4" s="16" t="s">
        <v>10</v>
      </c>
      <c r="B4" s="17" t="s">
        <v>0</v>
      </c>
      <c r="C4" s="15" t="s">
        <v>1</v>
      </c>
      <c r="D4" s="18" t="s">
        <v>11</v>
      </c>
    </row>
    <row r="5" spans="1:4" ht="15" x14ac:dyDescent="0.25">
      <c r="A5" s="6">
        <v>1</v>
      </c>
      <c r="B5" s="9">
        <v>811</v>
      </c>
      <c r="C5" s="8" t="s">
        <v>14</v>
      </c>
      <c r="D5" s="19">
        <v>7190</v>
      </c>
    </row>
    <row r="6" spans="1:4" ht="15" x14ac:dyDescent="0.25">
      <c r="A6" s="6">
        <v>2</v>
      </c>
      <c r="B6" s="7" t="s">
        <v>34</v>
      </c>
      <c r="C6" s="8" t="s">
        <v>32</v>
      </c>
      <c r="D6" s="19">
        <v>206805</v>
      </c>
    </row>
    <row r="7" spans="1:4" ht="15" x14ac:dyDescent="0.25">
      <c r="A7" s="6">
        <v>3</v>
      </c>
      <c r="B7" s="7">
        <v>817</v>
      </c>
      <c r="C7" s="8" t="s">
        <v>23</v>
      </c>
      <c r="D7" s="19">
        <v>21</v>
      </c>
    </row>
    <row r="8" spans="1:4" ht="15" x14ac:dyDescent="0.25">
      <c r="A8" s="6">
        <v>4</v>
      </c>
      <c r="B8" s="9">
        <v>818</v>
      </c>
      <c r="C8" s="10" t="s">
        <v>38</v>
      </c>
      <c r="D8" s="19">
        <v>1478</v>
      </c>
    </row>
    <row r="9" spans="1:4" ht="15" x14ac:dyDescent="0.25">
      <c r="A9" s="6">
        <v>5</v>
      </c>
      <c r="B9" s="9">
        <v>821</v>
      </c>
      <c r="C9" s="8" t="s">
        <v>13</v>
      </c>
      <c r="D9" s="19">
        <v>99223</v>
      </c>
    </row>
    <row r="10" spans="1:4" ht="15" x14ac:dyDescent="0.25">
      <c r="A10" s="6">
        <v>6</v>
      </c>
      <c r="B10" s="7">
        <v>840</v>
      </c>
      <c r="C10" s="8" t="s">
        <v>18</v>
      </c>
      <c r="D10" s="19">
        <v>108</v>
      </c>
    </row>
    <row r="11" spans="1:4" ht="15" x14ac:dyDescent="0.25">
      <c r="A11" s="6">
        <v>7</v>
      </c>
      <c r="B11" s="7">
        <v>844</v>
      </c>
      <c r="C11" s="8" t="s">
        <v>26</v>
      </c>
      <c r="D11" s="19">
        <v>135</v>
      </c>
    </row>
    <row r="12" spans="1:4" ht="15" x14ac:dyDescent="0.25">
      <c r="A12" s="6">
        <v>8</v>
      </c>
      <c r="B12" s="7">
        <v>846</v>
      </c>
      <c r="C12" s="8" t="s">
        <v>24</v>
      </c>
      <c r="D12" s="19">
        <v>10</v>
      </c>
    </row>
    <row r="13" spans="1:4" ht="15" x14ac:dyDescent="0.25">
      <c r="A13" s="6">
        <v>9</v>
      </c>
      <c r="B13" s="7">
        <v>855</v>
      </c>
      <c r="C13" s="8" t="s">
        <v>9</v>
      </c>
      <c r="D13" s="19">
        <v>363</v>
      </c>
    </row>
    <row r="14" spans="1:4" ht="15" x14ac:dyDescent="0.25">
      <c r="A14" s="6">
        <v>10</v>
      </c>
      <c r="B14" s="7">
        <v>863</v>
      </c>
      <c r="C14" s="8" t="s">
        <v>40</v>
      </c>
      <c r="D14" s="19">
        <v>6561</v>
      </c>
    </row>
    <row r="15" spans="1:4" ht="15" x14ac:dyDescent="0.25">
      <c r="A15" s="6">
        <v>11</v>
      </c>
      <c r="B15" s="7">
        <v>868</v>
      </c>
      <c r="C15" s="8" t="s">
        <v>29</v>
      </c>
      <c r="D15" s="19">
        <v>141</v>
      </c>
    </row>
    <row r="16" spans="1:4" ht="15" x14ac:dyDescent="0.25">
      <c r="A16" s="6">
        <v>12</v>
      </c>
      <c r="B16" s="7">
        <v>875</v>
      </c>
      <c r="C16" s="8" t="s">
        <v>30</v>
      </c>
      <c r="D16" s="19">
        <v>851</v>
      </c>
    </row>
    <row r="17" spans="1:4" ht="15" x14ac:dyDescent="0.25">
      <c r="A17" s="6">
        <v>13</v>
      </c>
      <c r="B17" s="7">
        <v>880</v>
      </c>
      <c r="C17" s="8" t="s">
        <v>35</v>
      </c>
      <c r="D17" s="19">
        <v>716221</v>
      </c>
    </row>
    <row r="18" spans="1:4" ht="15" x14ac:dyDescent="0.25">
      <c r="A18" s="6">
        <v>14</v>
      </c>
      <c r="B18" s="7">
        <v>886</v>
      </c>
      <c r="C18" s="8" t="s">
        <v>39</v>
      </c>
      <c r="D18" s="19">
        <v>269</v>
      </c>
    </row>
    <row r="19" spans="1:4" ht="15" x14ac:dyDescent="0.25">
      <c r="A19" s="6">
        <v>15</v>
      </c>
      <c r="B19" s="7">
        <v>887</v>
      </c>
      <c r="C19" t="s">
        <v>42</v>
      </c>
      <c r="D19" s="19">
        <v>7</v>
      </c>
    </row>
    <row r="20" spans="1:4" ht="15" x14ac:dyDescent="0.25">
      <c r="A20" s="6">
        <v>16</v>
      </c>
      <c r="B20" s="7">
        <v>902</v>
      </c>
      <c r="C20" s="8" t="s">
        <v>22</v>
      </c>
      <c r="D20" s="19">
        <v>201492</v>
      </c>
    </row>
    <row r="21" spans="1:4" ht="15" x14ac:dyDescent="0.25">
      <c r="A21" s="6">
        <v>17</v>
      </c>
      <c r="B21" s="9">
        <v>906</v>
      </c>
      <c r="C21" s="8" t="s">
        <v>8</v>
      </c>
      <c r="D21" s="24">
        <v>9788</v>
      </c>
    </row>
    <row r="22" spans="1:4" ht="15" x14ac:dyDescent="0.25">
      <c r="A22" s="6">
        <v>18</v>
      </c>
      <c r="B22" s="7">
        <v>912</v>
      </c>
      <c r="C22" s="8" t="s">
        <v>31</v>
      </c>
      <c r="D22" s="19">
        <v>178201</v>
      </c>
    </row>
    <row r="23" spans="1:4" ht="15" x14ac:dyDescent="0.25">
      <c r="A23" s="6">
        <v>19</v>
      </c>
      <c r="B23" s="7">
        <v>914</v>
      </c>
      <c r="C23" s="8" t="s">
        <v>33</v>
      </c>
      <c r="D23" s="19">
        <v>498287</v>
      </c>
    </row>
    <row r="24" spans="1:4" ht="15" x14ac:dyDescent="0.25">
      <c r="A24" s="6">
        <v>20</v>
      </c>
      <c r="B24" s="9">
        <v>915</v>
      </c>
      <c r="C24" s="8" t="s">
        <v>25</v>
      </c>
      <c r="D24" s="19">
        <v>118411</v>
      </c>
    </row>
    <row r="25" spans="1:4" ht="15" x14ac:dyDescent="0.25">
      <c r="A25" s="6">
        <v>21</v>
      </c>
      <c r="B25" s="7">
        <v>916</v>
      </c>
      <c r="C25" s="8" t="s">
        <v>15</v>
      </c>
      <c r="D25" s="19">
        <v>26359</v>
      </c>
    </row>
    <row r="26" spans="1:4" ht="15" x14ac:dyDescent="0.25">
      <c r="A26" s="6">
        <v>22</v>
      </c>
      <c r="B26" s="7">
        <v>920</v>
      </c>
      <c r="C26" s="8" t="s">
        <v>28</v>
      </c>
      <c r="D26" s="19">
        <v>43727</v>
      </c>
    </row>
    <row r="27" spans="1:4" ht="15" x14ac:dyDescent="0.25">
      <c r="A27" s="6">
        <v>23</v>
      </c>
      <c r="B27" s="7">
        <v>922</v>
      </c>
      <c r="C27" s="8" t="s">
        <v>37</v>
      </c>
      <c r="D27" s="19">
        <v>10422</v>
      </c>
    </row>
    <row r="28" spans="1:4" ht="15" x14ac:dyDescent="0.25">
      <c r="A28" s="6">
        <v>24</v>
      </c>
      <c r="B28" s="9">
        <v>924</v>
      </c>
      <c r="C28" s="8" t="s">
        <v>21</v>
      </c>
      <c r="D28" s="19">
        <v>16874</v>
      </c>
    </row>
    <row r="29" spans="1:4" ht="15" x14ac:dyDescent="0.25">
      <c r="A29" s="6">
        <v>25</v>
      </c>
      <c r="B29" s="7">
        <v>936</v>
      </c>
      <c r="C29" s="11" t="s">
        <v>27</v>
      </c>
      <c r="D29" s="19">
        <v>121</v>
      </c>
    </row>
    <row r="30" spans="1:4" ht="15" x14ac:dyDescent="0.25">
      <c r="A30" s="6">
        <v>26</v>
      </c>
      <c r="B30" s="9">
        <v>945</v>
      </c>
      <c r="C30" s="8" t="s">
        <v>2</v>
      </c>
      <c r="D30" s="19">
        <v>43</v>
      </c>
    </row>
    <row r="31" spans="1:4" ht="15" x14ac:dyDescent="0.25">
      <c r="A31" s="6">
        <v>27</v>
      </c>
      <c r="B31" s="9">
        <v>950</v>
      </c>
      <c r="C31" s="8" t="s">
        <v>16</v>
      </c>
      <c r="D31" s="19">
        <v>14270</v>
      </c>
    </row>
    <row r="32" spans="1:4" ht="15" x14ac:dyDescent="0.25">
      <c r="A32" s="6">
        <v>28</v>
      </c>
      <c r="B32" s="9">
        <v>954</v>
      </c>
      <c r="C32" s="8" t="s">
        <v>12</v>
      </c>
      <c r="D32" s="19">
        <v>182052</v>
      </c>
    </row>
    <row r="33" spans="1:4" ht="15" x14ac:dyDescent="0.25">
      <c r="A33" s="6">
        <v>29</v>
      </c>
      <c r="B33" s="9">
        <v>956</v>
      </c>
      <c r="C33" s="8" t="s">
        <v>36</v>
      </c>
      <c r="D33" s="19">
        <v>17893</v>
      </c>
    </row>
    <row r="34" spans="1:4" ht="15" x14ac:dyDescent="0.25">
      <c r="A34" s="6">
        <v>30</v>
      </c>
      <c r="B34" s="7">
        <v>959</v>
      </c>
      <c r="C34" s="10" t="s">
        <v>3</v>
      </c>
      <c r="D34" s="20">
        <v>165</v>
      </c>
    </row>
    <row r="35" spans="1:4" ht="15" x14ac:dyDescent="0.25">
      <c r="A35" s="6">
        <v>31</v>
      </c>
      <c r="B35" s="12">
        <v>965</v>
      </c>
      <c r="C35" s="13" t="s">
        <v>17</v>
      </c>
      <c r="D35" s="19">
        <v>14170</v>
      </c>
    </row>
    <row r="36" spans="1:4" ht="15" x14ac:dyDescent="0.25">
      <c r="A36" s="6">
        <v>32</v>
      </c>
      <c r="B36" s="7">
        <v>974</v>
      </c>
      <c r="C36" s="8" t="s">
        <v>7</v>
      </c>
      <c r="D36" s="19">
        <v>229</v>
      </c>
    </row>
    <row r="37" spans="1:4" ht="15" x14ac:dyDescent="0.25">
      <c r="A37" s="6">
        <v>33</v>
      </c>
      <c r="B37" s="7">
        <v>979</v>
      </c>
      <c r="C37" s="8" t="s">
        <v>4</v>
      </c>
      <c r="D37" s="19">
        <v>6447</v>
      </c>
    </row>
    <row r="38" spans="1:4" ht="15" x14ac:dyDescent="0.25">
      <c r="A38" s="6">
        <v>34</v>
      </c>
      <c r="B38" s="7">
        <v>980</v>
      </c>
      <c r="C38" s="8" t="s">
        <v>5</v>
      </c>
      <c r="D38" s="19">
        <v>249</v>
      </c>
    </row>
    <row r="39" spans="1:4" ht="15" x14ac:dyDescent="0.25">
      <c r="A39" s="6">
        <v>35</v>
      </c>
      <c r="B39" s="7">
        <v>986</v>
      </c>
      <c r="C39" s="8" t="s">
        <v>20</v>
      </c>
      <c r="D39" s="19">
        <v>1640</v>
      </c>
    </row>
    <row r="40" spans="1:4" ht="15.75" thickBot="1" x14ac:dyDescent="0.3">
      <c r="A40" s="14" t="s">
        <v>6</v>
      </c>
      <c r="B40" s="22"/>
      <c r="C40" s="23"/>
      <c r="D40" s="21">
        <f>SUM(D5:D39)</f>
        <v>2380223</v>
      </c>
    </row>
    <row r="41" spans="1:4" ht="13.5" thickTop="1" x14ac:dyDescent="0.2"/>
  </sheetData>
  <pageMargins left="0.7" right="0.7" top="0.75" bottom="0.75" header="0.3" footer="0.3"/>
  <pageSetup paperSize="9"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październik_25</vt:lpstr>
      <vt:lpstr>październik_25!Obszar_wydruku</vt:lpstr>
    </vt:vector>
  </TitlesOfParts>
  <Company>KDPW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Dp0311</dc:creator>
  <cp:lastModifiedBy>Pudłowska Kamila</cp:lastModifiedBy>
  <cp:lastPrinted>2025-05-08T11:17:00Z</cp:lastPrinted>
  <dcterms:created xsi:type="dcterms:W3CDTF">2002-04-08T08:30:41Z</dcterms:created>
  <dcterms:modified xsi:type="dcterms:W3CDTF">2025-11-07T13:18:40Z</dcterms:modified>
</cp:coreProperties>
</file>